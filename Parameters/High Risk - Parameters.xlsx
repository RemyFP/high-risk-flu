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fp437/Work/High risk/high-risk-flu/Parameters/"/>
    </mc:Choice>
  </mc:AlternateContent>
  <xr:revisionPtr revIDLastSave="0" documentId="13_ncr:1_{112AAAC5-14AA-2348-9913-FC01A74A3800}" xr6:coauthVersionLast="47" xr6:coauthVersionMax="47" xr10:uidLastSave="{00000000-0000-0000-0000-000000000000}"/>
  <bookViews>
    <workbookView xWindow="0" yWindow="880" windowWidth="29040" windowHeight="15840" activeTab="2" xr2:uid="{F6439070-539B-4A5B-A753-3646CFF84942}"/>
  </bookViews>
  <sheets>
    <sheet name="ConditionsList" sheetId="1" r:id="rId1"/>
    <sheet name="MultipleConditionsAdults" sheetId="2" r:id="rId2"/>
    <sheet name="Obesity" sheetId="5" r:id="rId3"/>
    <sheet name="MultipleConditionsSource" sheetId="3" r:id="rId4"/>
    <sheet name="MCC_Adj_Checks" sheetId="7" r:id="rId5"/>
    <sheet name="ObesitySource" sheetId="4" r:id="rId6"/>
    <sheet name="SevereObesitySource" sheetId="9" r:id="rId7"/>
    <sheet name="AgeGroups" sheetId="6" r:id="rId8"/>
    <sheet name="ChildrenObesity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4" l="1"/>
  <c r="B4" i="9"/>
  <c r="P16" i="3"/>
  <c r="P17" i="3"/>
  <c r="P15" i="3"/>
  <c r="O16" i="3"/>
  <c r="N16" i="3"/>
  <c r="N15" i="3"/>
  <c r="H3" i="6" l="1"/>
  <c r="I3" i="6"/>
  <c r="D6" i="7"/>
  <c r="K16" i="7" s="1"/>
  <c r="J9" i="7"/>
  <c r="K9" i="7"/>
  <c r="J10" i="7"/>
  <c r="K10" i="7"/>
  <c r="J11" i="7"/>
  <c r="K11" i="7"/>
  <c r="I10" i="7"/>
  <c r="I11" i="7"/>
  <c r="I9" i="7"/>
  <c r="C6" i="7"/>
  <c r="D5" i="7"/>
  <c r="C5" i="7"/>
  <c r="C4" i="7"/>
  <c r="A2" i="5"/>
  <c r="A12" i="4"/>
  <c r="C8" i="4"/>
  <c r="B8" i="4"/>
  <c r="B2" i="2"/>
  <c r="C2" i="2"/>
  <c r="D2" i="2"/>
  <c r="E2" i="2"/>
  <c r="B3" i="2"/>
  <c r="C3" i="2"/>
  <c r="D3" i="2"/>
  <c r="E3" i="2"/>
  <c r="B4" i="2"/>
  <c r="C4" i="2"/>
  <c r="D4" i="2"/>
  <c r="E4" i="2"/>
  <c r="A3" i="2"/>
  <c r="A4" i="2"/>
  <c r="A2" i="2"/>
  <c r="L16" i="3"/>
  <c r="M16" i="3"/>
  <c r="L17" i="3"/>
  <c r="M17" i="3"/>
  <c r="M15" i="3"/>
  <c r="L15" i="3"/>
  <c r="N17" i="3"/>
  <c r="O17" i="3" s="1"/>
  <c r="J16" i="7" l="1"/>
  <c r="K17" i="7"/>
  <c r="K23" i="7" s="1"/>
  <c r="K29" i="7" s="1"/>
  <c r="I16" i="7"/>
  <c r="K15" i="7"/>
  <c r="J15" i="7"/>
  <c r="J17" i="7"/>
  <c r="I15" i="7"/>
  <c r="I17" i="7"/>
  <c r="I23" i="7" s="1"/>
  <c r="I29" i="7" s="1"/>
  <c r="J21" i="7"/>
  <c r="J27" i="7" s="1"/>
  <c r="H9" i="7"/>
  <c r="K22" i="7"/>
  <c r="K28" i="7" s="1"/>
  <c r="H10" i="7" l="1"/>
  <c r="J23" i="7"/>
  <c r="J29" i="7" s="1"/>
  <c r="H11" i="7"/>
  <c r="K21" i="7"/>
  <c r="K27" i="7" s="1"/>
  <c r="J22" i="7"/>
  <c r="J28" i="7" s="1"/>
  <c r="I21" i="7"/>
  <c r="I27" i="7" s="1"/>
  <c r="I22" i="7"/>
  <c r="I28" i="7" s="1"/>
  <c r="H15" i="7"/>
  <c r="H21" i="7" s="1"/>
  <c r="H27" i="7" s="1"/>
  <c r="H17" i="7"/>
  <c r="H16" i="7"/>
  <c r="H22" i="7" l="1"/>
  <c r="H28" i="7" s="1"/>
  <c r="H23" i="7"/>
  <c r="H29" i="7" s="1"/>
</calcChain>
</file>

<file path=xl/sharedStrings.xml><?xml version="1.0" encoding="utf-8"?>
<sst xmlns="http://schemas.openxmlformats.org/spreadsheetml/2006/main" count="389" uniqueCount="264">
  <si>
    <t>Category</t>
  </si>
  <si>
    <t>Measure</t>
  </si>
  <si>
    <t>CategoryID</t>
  </si>
  <si>
    <t>MeasureId</t>
  </si>
  <si>
    <t>Short_Question_Text</t>
  </si>
  <si>
    <t>Health Outcomes</t>
  </si>
  <si>
    <t>Stroke among adults aged &gt;=18 years</t>
  </si>
  <si>
    <t>HLTHOUT</t>
  </si>
  <si>
    <t>STROKE</t>
  </si>
  <si>
    <t>Stroke</t>
  </si>
  <si>
    <t>Chronic obstructive pulmonary disease among adults aged &gt;=18 years</t>
  </si>
  <si>
    <t>COPD</t>
  </si>
  <si>
    <t>Unhealthy Behaviors</t>
  </si>
  <si>
    <t>Binge drinking among adults aged &gt;=18 years</t>
  </si>
  <si>
    <t>UNHBEH</t>
  </si>
  <si>
    <t>BINGE</t>
  </si>
  <si>
    <t>Binge Drinking</t>
  </si>
  <si>
    <t>Prevention</t>
  </si>
  <si>
    <t>Mammography use among women aged 50-74 years</t>
  </si>
  <si>
    <t>PREVENT</t>
  </si>
  <si>
    <t>MAMMOUSE</t>
  </si>
  <si>
    <t>Mammography</t>
  </si>
  <si>
    <t>Current asthma among adults aged &gt;=18 years</t>
  </si>
  <si>
    <t>CASTHMA</t>
  </si>
  <si>
    <t>Current Asthma</t>
  </si>
  <si>
    <t>Diagnosed diabetes among adults aged &gt;=18 years</t>
  </si>
  <si>
    <t>DIABETES</t>
  </si>
  <si>
    <t>Diabetes</t>
  </si>
  <si>
    <t>Older adult men aged &gt;=65 years who are up to date on a core set of clinical preventive services: Flu shot past year, PPV shot ever, Colorectal cancer screening</t>
  </si>
  <si>
    <t>COREM</t>
  </si>
  <si>
    <t>Core preventive services for older men</t>
  </si>
  <si>
    <t>Coronary heart disease among adults aged &gt;=18 years</t>
  </si>
  <si>
    <t>CHD</t>
  </si>
  <si>
    <t>Coronary Heart Disease</t>
  </si>
  <si>
    <t>Sleeping less than 7 hours among adults aged &gt;=18 years</t>
  </si>
  <si>
    <t>SLEEP</t>
  </si>
  <si>
    <t>Sleep &lt;7 hours</t>
  </si>
  <si>
    <t>Cancer (excluding skin cancer) among adults aged &gt;=18 years</t>
  </si>
  <si>
    <t>CANCER</t>
  </si>
  <si>
    <t>Cancer (except skin)</t>
  </si>
  <si>
    <t>No leisure-time physical activity among adults aged &gt;=18 years</t>
  </si>
  <si>
    <t>LPA</t>
  </si>
  <si>
    <t>Physical Inactivity</t>
  </si>
  <si>
    <t>Arthritis among adults aged &gt;=18 years</t>
  </si>
  <si>
    <t>ARTHRITIS</t>
  </si>
  <si>
    <t>Arthritis</t>
  </si>
  <si>
    <t>Visits to dentist or dental clinic among adults aged &gt;=18 years</t>
  </si>
  <si>
    <t>DENTAL</t>
  </si>
  <si>
    <t>Dental Visit</t>
  </si>
  <si>
    <t>Chronic kidney disease among adults aged &gt;=18 years</t>
  </si>
  <si>
    <t>KIDNEY</t>
  </si>
  <si>
    <t>Chronic Kidney Disease</t>
  </si>
  <si>
    <t>Older adult women aged &gt;=65 years who are up to date on a core set of clinical preventive services: Flu shot past year, PPV shot ever, Colorectal cancer screening, and Mammogram past 2 years</t>
  </si>
  <si>
    <t>COREW</t>
  </si>
  <si>
    <t>Core preventive services for older women</t>
  </si>
  <si>
    <t>Physical health not good for &gt;=14 days among adults aged &gt;=18 years</t>
  </si>
  <si>
    <t>PHLTH</t>
  </si>
  <si>
    <t>Physical Health</t>
  </si>
  <si>
    <t>Visits to doctor for routine checkup within the past year among adults aged &gt;=18 years</t>
  </si>
  <si>
    <t>CHECKUP</t>
  </si>
  <si>
    <t>Annual Checkup</t>
  </si>
  <si>
    <t>Obesity among adults aged &gt;=18 years</t>
  </si>
  <si>
    <t>OBESITY</t>
  </si>
  <si>
    <t>Obesity</t>
  </si>
  <si>
    <t>Taking medicine for high blood pressure control among adults aged &gt;=18 years with high blood pressure</t>
  </si>
  <si>
    <t>BPMED</t>
  </si>
  <si>
    <t>Taking BP Medication</t>
  </si>
  <si>
    <t>Current lack of health insurance among adults aged 18-64 years</t>
  </si>
  <si>
    <t>ACCESS2</t>
  </si>
  <si>
    <t>Health Insurance</t>
  </si>
  <si>
    <t>Current smoking among adults aged &gt;=18 years</t>
  </si>
  <si>
    <t>CSMOKING</t>
  </si>
  <si>
    <t>Current Smoking</t>
  </si>
  <si>
    <t>Cholesterol screening among adults aged &gt;=18 years</t>
  </si>
  <si>
    <t>CHOLSCREEN</t>
  </si>
  <si>
    <t>Cholesterol Screening</t>
  </si>
  <si>
    <t>All teeth lost among adults aged &gt;=65 years</t>
  </si>
  <si>
    <t>TEETHLOST</t>
  </si>
  <si>
    <t>Teeth Loss</t>
  </si>
  <si>
    <t>High blood pressure among adults aged &gt;=18 years</t>
  </si>
  <si>
    <t>BPHIGH</t>
  </si>
  <si>
    <t>High Blood Pressure</t>
  </si>
  <si>
    <t>High cholesterol among adults aged &gt;=18 years who have been screened in the past 5 years</t>
  </si>
  <si>
    <t>HIGHCHOL</t>
  </si>
  <si>
    <t>High Cholesterol</t>
  </si>
  <si>
    <t>Fecal occult blood test, sigmoidoscopy, or colonoscopy among adults aged 50-75 years</t>
  </si>
  <si>
    <t>COLON_SCREEN</t>
  </si>
  <si>
    <t>Colorectal Cancer Screening</t>
  </si>
  <si>
    <t>Mental health not good for &gt;=14 days among adults aged &gt;=18 years</t>
  </si>
  <si>
    <t>MHLTH</t>
  </si>
  <si>
    <t>Mental Health</t>
  </si>
  <si>
    <t>Cervical cancer screening among adult women aged 21-65 years</t>
  </si>
  <si>
    <t>CERVICAL</t>
  </si>
  <si>
    <t>Cervical Cancer Screening</t>
  </si>
  <si>
    <t>AgeGroup</t>
  </si>
  <si>
    <t>2+</t>
  </si>
  <si>
    <t>65+</t>
  </si>
  <si>
    <t>75+</t>
  </si>
  <si>
    <t>https://www.cdc.gov/pcd/issues/2020/20_0130.htm</t>
  </si>
  <si>
    <t>Source</t>
  </si>
  <si>
    <t>Table</t>
  </si>
  <si>
    <t>Characteristic</t>
  </si>
  <si>
    <t>0 Chronic Conditions</t>
  </si>
  <si>
    <t>1 Chronic Condition</t>
  </si>
  <si>
    <t>≥2 Chronic Conditions</t>
  </si>
  <si>
    <t>% Populationb (95% CI)</t>
  </si>
  <si>
    <t>N</t>
  </si>
  <si>
    <t>Totalc</t>
  </si>
  <si>
    <t>48.2 (47.3–49.1)</t>
  </si>
  <si>
    <t>24.6 (23.9–25.3)</t>
  </si>
  <si>
    <t>27.2 (26.5–27.9)</t>
  </si>
  <si>
    <t>Sexd</t>
  </si>
  <si>
    <t>Male</t>
  </si>
  <si>
    <t>49.8 (48.5–51.0)</t>
  </si>
  <si>
    <t>24.4 (23.4–25.4)</t>
  </si>
  <si>
    <t>25.9 (24.9–26.9)</t>
  </si>
  <si>
    <t>Female</t>
  </si>
  <si>
    <t>46.7 (45.6–47.9)</t>
  </si>
  <si>
    <t>24.8 (23.9–25.7)</t>
  </si>
  <si>
    <t>28.4 (27.5–29.4)</t>
  </si>
  <si>
    <t>Race/ethnicitye</t>
  </si>
  <si>
    <t>Non-Hispanic White</t>
  </si>
  <si>
    <t>43.8 (42.7–44.8)</t>
  </si>
  <si>
    <t>25.6 (24.8–26.4)</t>
  </si>
  <si>
    <t>30.6 (29.7–31.6)</t>
  </si>
  <si>
    <t>Non-Hispanic Black</t>
  </si>
  <si>
    <t>47.6 (45.0–50.2)</t>
  </si>
  <si>
    <t>25.4 (23.3–27.6)</t>
  </si>
  <si>
    <t>27.0 (25.0–29.1)</t>
  </si>
  <si>
    <t>Non-Hispanic Asian</t>
  </si>
  <si>
    <t>62.0 (58.6–65.2)</t>
  </si>
  <si>
    <t>21.6 (19.0–24.4)</t>
  </si>
  <si>
    <t>16.4 (14.0–19.0)</t>
  </si>
  <si>
    <t>Hispanic</t>
  </si>
  <si>
    <t>61.5 (59.3–63.5)</t>
  </si>
  <si>
    <t>20.8 (19.1–22.5)</t>
  </si>
  <si>
    <t>17.7 (16.2–19.3)</t>
  </si>
  <si>
    <t>Age, yd</t>
  </si>
  <si>
    <t>18–44</t>
  </si>
  <si>
    <t>72.6 (71.4–73.7)</t>
  </si>
  <si>
    <t>20.7 (19.7–21.8)</t>
  </si>
  <si>
    <t>6.7 (6.1–7.3)</t>
  </si>
  <si>
    <t>45–64</t>
  </si>
  <si>
    <t>36.6 (35.3–37.9)</t>
  </si>
  <si>
    <t>30.4 (29.2–31.6)</t>
  </si>
  <si>
    <t>33.0 (31.7–34.3)</t>
  </si>
  <si>
    <t>≥65</t>
  </si>
  <si>
    <t>12.4 (11.5–13.3)</t>
  </si>
  <si>
    <t>23.9 (22.7–25.1)</t>
  </si>
  <si>
    <t>63.7 (62.3–65.1)</t>
  </si>
  <si>
    <t>Health insurance coveragef</t>
  </si>
  <si>
    <t>Age 18–64 yd</t>
  </si>
  <si>
    <t>Private</t>
  </si>
  <si>
    <t>58.6 (57.5–59.8)</t>
  </si>
  <si>
    <t>25.7 (24.7–26.7)</t>
  </si>
  <si>
    <t>15.7 (14.9–16.5)</t>
  </si>
  <si>
    <t>Public</t>
  </si>
  <si>
    <t>48.9 (46.3–51.6)</t>
  </si>
  <si>
    <t>23.4 (21.4–25.5)</t>
  </si>
  <si>
    <t>27.6 (25.5–29.9)</t>
  </si>
  <si>
    <t>Uninsured</t>
  </si>
  <si>
    <t>66.8 (64.3–69.3)</t>
  </si>
  <si>
    <t>21.6 (19.4–23.9)</t>
  </si>
  <si>
    <t>11.6 (10.1–13.2)</t>
  </si>
  <si>
    <t>Age ≥65 yg</t>
  </si>
  <si>
    <t>12.4 (11.1–13.8)</t>
  </si>
  <si>
    <t>24.4 (22.6–26.3)</t>
  </si>
  <si>
    <t>63.2 (61.2–65.3)</t>
  </si>
  <si>
    <t>Dual eligible</t>
  </si>
  <si>
    <t>6.8 (4.6–9.6)</t>
  </si>
  <si>
    <t>16.4 (13.0–20.1)</t>
  </si>
  <si>
    <t>76.9 (72.5–80.8)</t>
  </si>
  <si>
    <t>Medicare Advantage</t>
  </si>
  <si>
    <t>11.9 (10.2–13.6)</t>
  </si>
  <si>
    <t>25.2 (22.9–27.6)</t>
  </si>
  <si>
    <t>63.0 (60.3–65.6)</t>
  </si>
  <si>
    <t>Medicare only excluding Medicare Advantage</t>
  </si>
  <si>
    <t>16.1 (13.6–18.8)</t>
  </si>
  <si>
    <t>25.4 (22.2–28.9)</t>
  </si>
  <si>
    <t>58.5 (54.8–62.1)</t>
  </si>
  <si>
    <t>Location of residenced</t>
  </si>
  <si>
    <t>Urban</t>
  </si>
  <si>
    <t>49.5 (48.5–50.5)</t>
  </si>
  <si>
    <t>24.5 (23.7–25.2)</t>
  </si>
  <si>
    <t>26.1 (25.3–26.9)</t>
  </si>
  <si>
    <t>Rural</t>
  </si>
  <si>
    <t>39.7 (37.3–42.1)</t>
  </si>
  <si>
    <t>25.5 (23.8–27.2)</t>
  </si>
  <si>
    <t>34.8 (32.8–37.0)</t>
  </si>
  <si>
    <t>Number Conditions</t>
  </si>
  <si>
    <t>18_44</t>
  </si>
  <si>
    <t>45_64</t>
  </si>
  <si>
    <t>18-44</t>
  </si>
  <si>
    <t>45-64</t>
  </si>
  <si>
    <t>Adjusted</t>
  </si>
  <si>
    <t>https://journals.plos.org/plosone/article?id=10.1371/journal.pone.0009694</t>
  </si>
  <si>
    <t>Table 1</t>
  </si>
  <si>
    <t>&gt;= 20 years old</t>
  </si>
  <si>
    <t>Underweight</t>
  </si>
  <si>
    <t>Normal weight</t>
  </si>
  <si>
    <t>Overweight</t>
  </si>
  <si>
    <t>Obese</t>
  </si>
  <si>
    <t>Morbidly Obese</t>
  </si>
  <si>
    <t>Total</t>
  </si>
  <si>
    <t>Individuals</t>
  </si>
  <si>
    <t>Chronic Condition</t>
  </si>
  <si>
    <t>Proportions obese+ with some condition</t>
  </si>
  <si>
    <t>Morbid Obesity as a Risk Factor for Hospitalization and Death Due to 2009 Pandemic Influenza A(H1N1) Disease</t>
  </si>
  <si>
    <t>ChronicCondition</t>
  </si>
  <si>
    <t>HighRiskCondition</t>
  </si>
  <si>
    <t>ObeseWithCondition</t>
  </si>
  <si>
    <t>0_0.5</t>
  </si>
  <si>
    <t>0.5_4</t>
  </si>
  <si>
    <t>5_9</t>
  </si>
  <si>
    <t>10_14</t>
  </si>
  <si>
    <t>15_19</t>
  </si>
  <si>
    <t>20_24</t>
  </si>
  <si>
    <t>35_39</t>
  </si>
  <si>
    <t>40_44</t>
  </si>
  <si>
    <t>45_49</t>
  </si>
  <si>
    <t>50_54</t>
  </si>
  <si>
    <t>60_64</t>
  </si>
  <si>
    <t>65_69</t>
  </si>
  <si>
    <t>70_74</t>
  </si>
  <si>
    <t>AgeGroupMCC</t>
  </si>
  <si>
    <t>Adult</t>
  </si>
  <si>
    <t>Children</t>
  </si>
  <si>
    <t>Pregnancy</t>
  </si>
  <si>
    <t>30_34</t>
  </si>
  <si>
    <t>25_29</t>
  </si>
  <si>
    <t>low</t>
  </si>
  <si>
    <t>high</t>
  </si>
  <si>
    <t>Prevalence</t>
  </si>
  <si>
    <t>Average</t>
  </si>
  <si>
    <t>Score</t>
  </si>
  <si>
    <t>average</t>
  </si>
  <si>
    <t>diff</t>
  </si>
  <si>
    <t>Ratio</t>
  </si>
  <si>
    <t>AgeGroup_1</t>
  </si>
  <si>
    <t>AgeGroup_2</t>
  </si>
  <si>
    <t>AgeGroup_1_weight</t>
  </si>
  <si>
    <t>AgeGroup_2_weight</t>
  </si>
  <si>
    <t>2_5</t>
  </si>
  <si>
    <t>6_11</t>
  </si>
  <si>
    <t>12_19</t>
  </si>
  <si>
    <t>0_1</t>
  </si>
  <si>
    <t>AgeGroupObesity</t>
  </si>
  <si>
    <t>Sum</t>
  </si>
  <si>
    <t>https://www.cdc.gov/obesity/data/childhood.html</t>
  </si>
  <si>
    <t>55_59</t>
  </si>
  <si>
    <t>Note</t>
  </si>
  <si>
    <t>Not in 2025 data anymore</t>
  </si>
  <si>
    <t>https://www.cdc.gov/nchs/products/databriefs/db508.htm</t>
  </si>
  <si>
    <t>Adults</t>
  </si>
  <si>
    <t>Obese criteria</t>
  </si>
  <si>
    <t>Severely obese criteria</t>
  </si>
  <si>
    <t>BMI &gt;= 30</t>
  </si>
  <si>
    <t>BMI &gt;= 40</t>
  </si>
  <si>
    <t>SevereAmongObese</t>
  </si>
  <si>
    <t>SeverelyObeseWithCondition</t>
  </si>
  <si>
    <t>Proportions severely obese with some condition</t>
  </si>
  <si>
    <t>Obese in US</t>
  </si>
  <si>
    <t>Severely obese in US</t>
  </si>
  <si>
    <t>SeverelyObeseAmongObese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</si>
</sst>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5DCD1"/>
        <bgColor indexed="64"/>
      </patternFill>
    </fill>
  </fills>
  <borders count="7">
    <border>
      <left/>
      <right/>
      <top/>
      <bottom/>
      <diagonal/>
    </border>
    <border>
      <left style="medium">
        <color rgb="FF275B2C"/>
      </left>
      <right style="medium">
        <color rgb="FF275B2C"/>
      </right>
      <top style="medium">
        <color rgb="FF275B2C"/>
      </top>
      <bottom style="medium">
        <color rgb="FF275B2C"/>
      </bottom>
      <diagonal/>
    </border>
    <border>
      <left style="medium">
        <color rgb="FF275B2C"/>
      </left>
      <right style="medium">
        <color rgb="FF275B2C"/>
      </right>
      <top style="medium">
        <color rgb="FF275B2C"/>
      </top>
      <bottom/>
      <diagonal/>
    </border>
    <border>
      <left style="medium">
        <color rgb="FF275B2C"/>
      </left>
      <right style="medium">
        <color rgb="FF275B2C"/>
      </right>
      <top/>
      <bottom style="medium">
        <color rgb="FF275B2C"/>
      </bottom>
      <diagonal/>
    </border>
    <border>
      <left style="medium">
        <color rgb="FF275B2C"/>
      </left>
      <right/>
      <top style="medium">
        <color rgb="FF275B2C"/>
      </top>
      <bottom style="medium">
        <color rgb="FF275B2C"/>
      </bottom>
      <diagonal/>
    </border>
    <border>
      <left/>
      <right style="medium">
        <color rgb="FF275B2C"/>
      </right>
      <top style="medium">
        <color rgb="FF275B2C"/>
      </top>
      <bottom style="medium">
        <color rgb="FF275B2C"/>
      </bottom>
      <diagonal/>
    </border>
    <border>
      <left/>
      <right/>
      <top style="medium">
        <color rgb="FF275B2C"/>
      </top>
      <bottom style="medium">
        <color rgb="FF275B2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16" fontId="0" fillId="0" borderId="0" xfId="0" applyNumberFormat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3" fontId="2" fillId="2" borderId="1" xfId="0" applyNumberFormat="1" applyFont="1" applyFill="1" applyBorder="1" applyAlignment="1">
      <alignment horizontal="center" vertical="top"/>
    </xf>
    <xf numFmtId="0" fontId="1" fillId="2" borderId="4" xfId="0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164" fontId="0" fillId="0" borderId="0" xfId="0" applyNumberFormat="1"/>
    <xf numFmtId="165" fontId="0" fillId="0" borderId="0" xfId="0" applyNumberFormat="1"/>
    <xf numFmtId="0" fontId="0" fillId="0" borderId="0" xfId="0" quotePrefix="1"/>
    <xf numFmtId="0" fontId="3" fillId="0" borderId="0" xfId="1"/>
    <xf numFmtId="10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dc.gov/obesity/data/childhood.html" TargetMode="External"/><Relationship Id="rId1" Type="http://schemas.openxmlformats.org/officeDocument/2006/relationships/hyperlink" Target="https://journals.plos.org/plosone/article?id=10.1371/journal.pone.00096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7E0A-0D2C-43CD-A070-0BAF3101E97F}">
  <dimension ref="A1:H29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10.6640625" bestFit="1" customWidth="1"/>
    <col min="2" max="2" width="19.5" bestFit="1" customWidth="1"/>
    <col min="3" max="3" width="15.1640625" bestFit="1" customWidth="1"/>
    <col min="4" max="4" width="39.1640625" bestFit="1" customWidth="1"/>
    <col min="5" max="5" width="88.6640625" customWidth="1"/>
  </cols>
  <sheetData>
    <row r="1" spans="1:8" x14ac:dyDescent="0.2">
      <c r="A1" t="s">
        <v>2</v>
      </c>
      <c r="B1" t="s">
        <v>0</v>
      </c>
      <c r="C1" t="s">
        <v>3</v>
      </c>
      <c r="D1" t="s">
        <v>4</v>
      </c>
      <c r="E1" t="s">
        <v>1</v>
      </c>
      <c r="F1" t="s">
        <v>209</v>
      </c>
      <c r="G1" t="s">
        <v>208</v>
      </c>
      <c r="H1" t="s">
        <v>250</v>
      </c>
    </row>
    <row r="2" spans="1:8" x14ac:dyDescent="0.2">
      <c r="A2" t="s">
        <v>7</v>
      </c>
      <c r="B2" t="s">
        <v>5</v>
      </c>
      <c r="C2" t="s">
        <v>8</v>
      </c>
      <c r="D2" t="s">
        <v>9</v>
      </c>
      <c r="E2" t="s">
        <v>6</v>
      </c>
      <c r="F2">
        <v>1</v>
      </c>
      <c r="G2">
        <v>1</v>
      </c>
    </row>
    <row r="3" spans="1:8" x14ac:dyDescent="0.2">
      <c r="A3" t="s">
        <v>7</v>
      </c>
      <c r="B3" t="s">
        <v>5</v>
      </c>
      <c r="C3" t="s">
        <v>11</v>
      </c>
      <c r="D3" t="s">
        <v>11</v>
      </c>
      <c r="E3" t="s">
        <v>10</v>
      </c>
      <c r="F3">
        <v>1</v>
      </c>
      <c r="G3">
        <v>1</v>
      </c>
    </row>
    <row r="4" spans="1:8" x14ac:dyDescent="0.2">
      <c r="A4" t="s">
        <v>14</v>
      </c>
      <c r="B4" t="s">
        <v>12</v>
      </c>
      <c r="C4" t="s">
        <v>15</v>
      </c>
      <c r="D4" t="s">
        <v>16</v>
      </c>
      <c r="E4" t="s">
        <v>13</v>
      </c>
      <c r="F4">
        <v>0</v>
      </c>
      <c r="G4">
        <v>0</v>
      </c>
    </row>
    <row r="5" spans="1:8" x14ac:dyDescent="0.2">
      <c r="A5" t="s">
        <v>19</v>
      </c>
      <c r="B5" t="s">
        <v>17</v>
      </c>
      <c r="C5" t="s">
        <v>20</v>
      </c>
      <c r="D5" t="s">
        <v>21</v>
      </c>
      <c r="E5" t="s">
        <v>18</v>
      </c>
      <c r="F5">
        <v>0</v>
      </c>
      <c r="G5">
        <v>0</v>
      </c>
    </row>
    <row r="6" spans="1:8" x14ac:dyDescent="0.2">
      <c r="A6" t="s">
        <v>7</v>
      </c>
      <c r="B6" t="s">
        <v>5</v>
      </c>
      <c r="C6" t="s">
        <v>23</v>
      </c>
      <c r="D6" t="s">
        <v>24</v>
      </c>
      <c r="E6" t="s">
        <v>22</v>
      </c>
      <c r="F6">
        <v>0</v>
      </c>
      <c r="G6">
        <v>1</v>
      </c>
    </row>
    <row r="7" spans="1:8" x14ac:dyDescent="0.2">
      <c r="A7" t="s">
        <v>7</v>
      </c>
      <c r="B7" t="s">
        <v>5</v>
      </c>
      <c r="C7" t="s">
        <v>26</v>
      </c>
      <c r="D7" t="s">
        <v>27</v>
      </c>
      <c r="E7" t="s">
        <v>25</v>
      </c>
      <c r="F7">
        <v>1</v>
      </c>
      <c r="G7">
        <v>1</v>
      </c>
    </row>
    <row r="8" spans="1:8" x14ac:dyDescent="0.2">
      <c r="A8" t="s">
        <v>19</v>
      </c>
      <c r="B8" t="s">
        <v>17</v>
      </c>
      <c r="C8" t="s">
        <v>29</v>
      </c>
      <c r="D8" t="s">
        <v>30</v>
      </c>
      <c r="E8" t="s">
        <v>28</v>
      </c>
      <c r="F8">
        <v>0</v>
      </c>
      <c r="G8">
        <v>0</v>
      </c>
    </row>
    <row r="9" spans="1:8" x14ac:dyDescent="0.2">
      <c r="A9" t="s">
        <v>7</v>
      </c>
      <c r="B9" t="s">
        <v>5</v>
      </c>
      <c r="C9" t="s">
        <v>32</v>
      </c>
      <c r="D9" t="s">
        <v>33</v>
      </c>
      <c r="E9" t="s">
        <v>31</v>
      </c>
      <c r="F9">
        <v>1</v>
      </c>
      <c r="G9">
        <v>1</v>
      </c>
    </row>
    <row r="10" spans="1:8" x14ac:dyDescent="0.2">
      <c r="A10" t="s">
        <v>14</v>
      </c>
      <c r="B10" t="s">
        <v>12</v>
      </c>
      <c r="C10" t="s">
        <v>35</v>
      </c>
      <c r="D10" t="s">
        <v>36</v>
      </c>
      <c r="E10" t="s">
        <v>34</v>
      </c>
      <c r="F10">
        <v>0</v>
      </c>
      <c r="G10">
        <v>0</v>
      </c>
    </row>
    <row r="11" spans="1:8" x14ac:dyDescent="0.2">
      <c r="A11" t="s">
        <v>7</v>
      </c>
      <c r="B11" t="s">
        <v>5</v>
      </c>
      <c r="C11" t="s">
        <v>38</v>
      </c>
      <c r="D11" t="s">
        <v>39</v>
      </c>
      <c r="E11" t="s">
        <v>37</v>
      </c>
      <c r="F11">
        <v>1</v>
      </c>
      <c r="G11">
        <v>1</v>
      </c>
    </row>
    <row r="12" spans="1:8" x14ac:dyDescent="0.2">
      <c r="A12" t="s">
        <v>14</v>
      </c>
      <c r="B12" t="s">
        <v>12</v>
      </c>
      <c r="C12" t="s">
        <v>41</v>
      </c>
      <c r="D12" t="s">
        <v>42</v>
      </c>
      <c r="E12" t="s">
        <v>40</v>
      </c>
      <c r="F12">
        <v>0</v>
      </c>
      <c r="G12">
        <v>0</v>
      </c>
    </row>
    <row r="13" spans="1:8" x14ac:dyDescent="0.2">
      <c r="A13" t="s">
        <v>7</v>
      </c>
      <c r="B13" t="s">
        <v>5</v>
      </c>
      <c r="C13" t="s">
        <v>44</v>
      </c>
      <c r="D13" t="s">
        <v>45</v>
      </c>
      <c r="E13" t="s">
        <v>43</v>
      </c>
      <c r="F13">
        <v>0</v>
      </c>
      <c r="G13">
        <v>1</v>
      </c>
    </row>
    <row r="14" spans="1:8" x14ac:dyDescent="0.2">
      <c r="A14" t="s">
        <v>19</v>
      </c>
      <c r="B14" t="s">
        <v>17</v>
      </c>
      <c r="C14" t="s">
        <v>47</v>
      </c>
      <c r="D14" t="s">
        <v>48</v>
      </c>
      <c r="E14" t="s">
        <v>46</v>
      </c>
      <c r="F14">
        <v>0</v>
      </c>
      <c r="G14">
        <v>0</v>
      </c>
    </row>
    <row r="15" spans="1:8" x14ac:dyDescent="0.2">
      <c r="A15" t="s">
        <v>7</v>
      </c>
      <c r="B15" t="s">
        <v>5</v>
      </c>
      <c r="C15" t="s">
        <v>50</v>
      </c>
      <c r="D15" t="s">
        <v>51</v>
      </c>
      <c r="E15" t="s">
        <v>49</v>
      </c>
      <c r="F15">
        <v>0</v>
      </c>
      <c r="G15">
        <v>0</v>
      </c>
      <c r="H15" t="s">
        <v>251</v>
      </c>
    </row>
    <row r="16" spans="1:8" x14ac:dyDescent="0.2">
      <c r="A16" t="s">
        <v>19</v>
      </c>
      <c r="B16" t="s">
        <v>17</v>
      </c>
      <c r="C16" t="s">
        <v>53</v>
      </c>
      <c r="D16" t="s">
        <v>54</v>
      </c>
      <c r="E16" t="s">
        <v>52</v>
      </c>
      <c r="F16">
        <v>0</v>
      </c>
      <c r="G16">
        <v>0</v>
      </c>
    </row>
    <row r="17" spans="1:7" x14ac:dyDescent="0.2">
      <c r="A17" t="s">
        <v>7</v>
      </c>
      <c r="B17" t="s">
        <v>5</v>
      </c>
      <c r="C17" t="s">
        <v>56</v>
      </c>
      <c r="D17" t="s">
        <v>57</v>
      </c>
      <c r="E17" t="s">
        <v>55</v>
      </c>
      <c r="F17">
        <v>0</v>
      </c>
      <c r="G17">
        <v>0</v>
      </c>
    </row>
    <row r="18" spans="1:7" x14ac:dyDescent="0.2">
      <c r="A18" t="s">
        <v>19</v>
      </c>
      <c r="B18" t="s">
        <v>17</v>
      </c>
      <c r="C18" t="s">
        <v>59</v>
      </c>
      <c r="D18" t="s">
        <v>60</v>
      </c>
      <c r="E18" t="s">
        <v>58</v>
      </c>
      <c r="F18">
        <v>0</v>
      </c>
      <c r="G18">
        <v>0</v>
      </c>
    </row>
    <row r="19" spans="1:7" x14ac:dyDescent="0.2">
      <c r="A19" t="s">
        <v>14</v>
      </c>
      <c r="B19" t="s">
        <v>12</v>
      </c>
      <c r="C19" t="s">
        <v>62</v>
      </c>
      <c r="D19" t="s">
        <v>63</v>
      </c>
      <c r="E19" t="s">
        <v>61</v>
      </c>
      <c r="F19">
        <v>-1</v>
      </c>
      <c r="G19">
        <v>0</v>
      </c>
    </row>
    <row r="20" spans="1:7" x14ac:dyDescent="0.2">
      <c r="A20" t="s">
        <v>19</v>
      </c>
      <c r="B20" t="s">
        <v>17</v>
      </c>
      <c r="C20" t="s">
        <v>65</v>
      </c>
      <c r="D20" t="s">
        <v>66</v>
      </c>
      <c r="E20" t="s">
        <v>64</v>
      </c>
      <c r="F20">
        <v>0</v>
      </c>
      <c r="G20">
        <v>0</v>
      </c>
    </row>
    <row r="21" spans="1:7" x14ac:dyDescent="0.2">
      <c r="A21" t="s">
        <v>19</v>
      </c>
      <c r="B21" t="s">
        <v>17</v>
      </c>
      <c r="C21" t="s">
        <v>68</v>
      </c>
      <c r="D21" t="s">
        <v>69</v>
      </c>
      <c r="E21" t="s">
        <v>67</v>
      </c>
      <c r="F21">
        <v>0</v>
      </c>
      <c r="G21">
        <v>0</v>
      </c>
    </row>
    <row r="22" spans="1:7" x14ac:dyDescent="0.2">
      <c r="A22" t="s">
        <v>14</v>
      </c>
      <c r="B22" t="s">
        <v>12</v>
      </c>
      <c r="C22" t="s">
        <v>71</v>
      </c>
      <c r="D22" t="s">
        <v>72</v>
      </c>
      <c r="E22" t="s">
        <v>70</v>
      </c>
      <c r="F22">
        <v>-1</v>
      </c>
      <c r="G22">
        <v>0</v>
      </c>
    </row>
    <row r="23" spans="1:7" x14ac:dyDescent="0.2">
      <c r="A23" t="s">
        <v>19</v>
      </c>
      <c r="B23" t="s">
        <v>17</v>
      </c>
      <c r="C23" t="s">
        <v>74</v>
      </c>
      <c r="D23" t="s">
        <v>75</v>
      </c>
      <c r="E23" t="s">
        <v>73</v>
      </c>
      <c r="F23">
        <v>0</v>
      </c>
      <c r="G23">
        <v>0</v>
      </c>
    </row>
    <row r="24" spans="1:7" x14ac:dyDescent="0.2">
      <c r="A24" t="s">
        <v>7</v>
      </c>
      <c r="B24" t="s">
        <v>5</v>
      </c>
      <c r="C24" t="s">
        <v>77</v>
      </c>
      <c r="D24" t="s">
        <v>78</v>
      </c>
      <c r="E24" t="s">
        <v>76</v>
      </c>
      <c r="F24">
        <v>0</v>
      </c>
      <c r="G24">
        <v>0</v>
      </c>
    </row>
    <row r="25" spans="1:7" x14ac:dyDescent="0.2">
      <c r="A25" t="s">
        <v>7</v>
      </c>
      <c r="B25" t="s">
        <v>5</v>
      </c>
      <c r="C25" t="s">
        <v>80</v>
      </c>
      <c r="D25" t="s">
        <v>81</v>
      </c>
      <c r="E25" t="s">
        <v>79</v>
      </c>
      <c r="F25">
        <v>0</v>
      </c>
      <c r="G25">
        <v>1</v>
      </c>
    </row>
    <row r="26" spans="1:7" x14ac:dyDescent="0.2">
      <c r="A26" t="s">
        <v>7</v>
      </c>
      <c r="B26" t="s">
        <v>5</v>
      </c>
      <c r="C26" t="s">
        <v>83</v>
      </c>
      <c r="D26" t="s">
        <v>84</v>
      </c>
      <c r="E26" t="s">
        <v>82</v>
      </c>
      <c r="F26">
        <v>0</v>
      </c>
      <c r="G26">
        <v>0</v>
      </c>
    </row>
    <row r="27" spans="1:7" x14ac:dyDescent="0.2">
      <c r="A27" t="s">
        <v>19</v>
      </c>
      <c r="B27" t="s">
        <v>17</v>
      </c>
      <c r="C27" t="s">
        <v>86</v>
      </c>
      <c r="D27" t="s">
        <v>87</v>
      </c>
      <c r="E27" t="s">
        <v>85</v>
      </c>
      <c r="F27">
        <v>0</v>
      </c>
      <c r="G27">
        <v>0</v>
      </c>
    </row>
    <row r="28" spans="1:7" x14ac:dyDescent="0.2">
      <c r="A28" t="s">
        <v>7</v>
      </c>
      <c r="B28" t="s">
        <v>5</v>
      </c>
      <c r="C28" t="s">
        <v>89</v>
      </c>
      <c r="D28" t="s">
        <v>90</v>
      </c>
      <c r="E28" t="s">
        <v>88</v>
      </c>
      <c r="F28">
        <v>0</v>
      </c>
      <c r="G28">
        <v>0</v>
      </c>
    </row>
    <row r="29" spans="1:7" x14ac:dyDescent="0.2">
      <c r="A29" t="s">
        <v>19</v>
      </c>
      <c r="B29" t="s">
        <v>17</v>
      </c>
      <c r="C29" t="s">
        <v>92</v>
      </c>
      <c r="D29" t="s">
        <v>93</v>
      </c>
      <c r="E29" t="s">
        <v>91</v>
      </c>
      <c r="F29">
        <v>0</v>
      </c>
      <c r="G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1248-ABFF-46C0-981E-B5B7EDD2603E}">
  <dimension ref="A1:E4"/>
  <sheetViews>
    <sheetView workbookViewId="0">
      <selection sqref="A1:E4"/>
    </sheetView>
  </sheetViews>
  <sheetFormatPr baseColWidth="10" defaultColWidth="8.83203125" defaultRowHeight="15" x14ac:dyDescent="0.2"/>
  <cols>
    <col min="1" max="1" width="14" bestFit="1" customWidth="1"/>
  </cols>
  <sheetData>
    <row r="1" spans="1:5" x14ac:dyDescent="0.2">
      <c r="A1" t="s">
        <v>224</v>
      </c>
      <c r="B1">
        <v>0</v>
      </c>
      <c r="C1">
        <v>1</v>
      </c>
      <c r="D1">
        <v>2</v>
      </c>
      <c r="E1">
        <v>3</v>
      </c>
    </row>
    <row r="2" spans="1:5" x14ac:dyDescent="0.2">
      <c r="A2" t="str">
        <f>MultipleConditionsSource!K15</f>
        <v>18_44</v>
      </c>
      <c r="B2">
        <f>MultipleConditionsSource!L15</f>
        <v>0.72599999999999998</v>
      </c>
      <c r="C2">
        <f>MultipleConditionsSource!M15</f>
        <v>0.20699999999999999</v>
      </c>
      <c r="D2">
        <f>MultipleConditionsSource!N15</f>
        <v>6.7000000000000004E-2</v>
      </c>
      <c r="E2">
        <f>MultipleConditionsSource!O15</f>
        <v>0</v>
      </c>
    </row>
    <row r="3" spans="1:5" x14ac:dyDescent="0.2">
      <c r="A3" t="str">
        <f>MultipleConditionsSource!K16</f>
        <v>45_64</v>
      </c>
      <c r="B3">
        <f>MultipleConditionsSource!L16</f>
        <v>0.36599999999999999</v>
      </c>
      <c r="C3">
        <f>MultipleConditionsSource!M16</f>
        <v>0.30399999999999999</v>
      </c>
      <c r="D3">
        <f>MultipleConditionsSource!N16</f>
        <v>0.22</v>
      </c>
      <c r="E3">
        <f>MultipleConditionsSource!O16</f>
        <v>0.11</v>
      </c>
    </row>
    <row r="4" spans="1:5" x14ac:dyDescent="0.2">
      <c r="A4" t="str">
        <f>MultipleConditionsSource!K17</f>
        <v>65+</v>
      </c>
      <c r="B4">
        <f>MultipleConditionsSource!L17</f>
        <v>0.124</v>
      </c>
      <c r="C4">
        <f>MultipleConditionsSource!M17</f>
        <v>0.23899999999999999</v>
      </c>
      <c r="D4">
        <f>MultipleConditionsSource!N17</f>
        <v>0.31850000000000001</v>
      </c>
      <c r="E4">
        <f>MultipleConditionsSource!O17</f>
        <v>0.31850000000000001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FCA5-11A4-4980-8DF6-3FB0CC39BDA0}">
  <dimension ref="A1:C2"/>
  <sheetViews>
    <sheetView tabSelected="1" workbookViewId="0">
      <selection activeCell="C2" sqref="C2"/>
    </sheetView>
  </sheetViews>
  <sheetFormatPr baseColWidth="10" defaultColWidth="8.83203125" defaultRowHeight="15" x14ac:dyDescent="0.2"/>
  <sheetData>
    <row r="1" spans="1:3" x14ac:dyDescent="0.2">
      <c r="A1" t="s">
        <v>210</v>
      </c>
      <c r="B1" t="s">
        <v>259</v>
      </c>
      <c r="C1" t="s">
        <v>263</v>
      </c>
    </row>
    <row r="2" spans="1:3" x14ac:dyDescent="0.2">
      <c r="A2">
        <f>ObesitySource!A12</f>
        <v>0.4261084118981982</v>
      </c>
      <c r="B2" s="18">
        <v>0.512459</v>
      </c>
      <c r="C2" s="18">
        <v>0.23325062034739452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4F9F-98CE-4C61-A52F-F450C5D405BB}">
  <dimension ref="A1:P28"/>
  <sheetViews>
    <sheetView workbookViewId="0">
      <selection activeCell="N15" sqref="N15"/>
    </sheetView>
  </sheetViews>
  <sheetFormatPr baseColWidth="10" defaultColWidth="8.83203125" defaultRowHeight="15" x14ac:dyDescent="0.2"/>
  <cols>
    <col min="1" max="1" width="44.33203125" bestFit="1" customWidth="1"/>
    <col min="2" max="2" width="24.1640625" bestFit="1" customWidth="1"/>
    <col min="3" max="3" width="7.5" bestFit="1" customWidth="1"/>
    <col min="4" max="4" width="24.1640625" bestFit="1" customWidth="1"/>
    <col min="5" max="5" width="6.5" bestFit="1" customWidth="1"/>
    <col min="6" max="6" width="24.1640625" bestFit="1" customWidth="1"/>
    <col min="7" max="7" width="6.5" bestFit="1" customWidth="1"/>
  </cols>
  <sheetData>
    <row r="1" spans="1:16" ht="21" customHeight="1" thickBot="1" x14ac:dyDescent="0.25">
      <c r="A1" s="9" t="s">
        <v>101</v>
      </c>
      <c r="B1" s="11" t="s">
        <v>102</v>
      </c>
      <c r="C1" s="12"/>
      <c r="D1" s="11" t="s">
        <v>103</v>
      </c>
      <c r="E1" s="12"/>
      <c r="F1" s="11" t="s">
        <v>104</v>
      </c>
      <c r="G1" s="12"/>
      <c r="K1" t="s">
        <v>99</v>
      </c>
    </row>
    <row r="2" spans="1:16" ht="16" thickBot="1" x14ac:dyDescent="0.25">
      <c r="A2" s="10"/>
      <c r="B2" s="2" t="s">
        <v>105</v>
      </c>
      <c r="C2" s="2" t="s">
        <v>106</v>
      </c>
      <c r="D2" s="2" t="s">
        <v>105</v>
      </c>
      <c r="E2" s="2" t="s">
        <v>106</v>
      </c>
      <c r="F2" s="2" t="s">
        <v>105</v>
      </c>
      <c r="G2" s="2" t="s">
        <v>106</v>
      </c>
      <c r="K2" t="s">
        <v>98</v>
      </c>
    </row>
    <row r="3" spans="1:16" ht="16" thickBot="1" x14ac:dyDescent="0.25">
      <c r="A3" s="3" t="s">
        <v>107</v>
      </c>
      <c r="B3" s="4" t="s">
        <v>108</v>
      </c>
      <c r="C3" s="5">
        <v>120230</v>
      </c>
      <c r="D3" s="4" t="s">
        <v>109</v>
      </c>
      <c r="E3" s="5">
        <v>61371</v>
      </c>
      <c r="F3" s="4" t="s">
        <v>110</v>
      </c>
      <c r="G3" s="5">
        <v>67854</v>
      </c>
      <c r="K3" t="s">
        <v>100</v>
      </c>
    </row>
    <row r="4" spans="1:16" ht="16" thickBot="1" x14ac:dyDescent="0.25">
      <c r="A4" s="6" t="s">
        <v>111</v>
      </c>
      <c r="B4" s="7"/>
      <c r="C4" s="7"/>
      <c r="D4" s="7"/>
      <c r="E4" s="7"/>
      <c r="F4" s="7"/>
      <c r="G4" s="8"/>
    </row>
    <row r="5" spans="1:16" ht="16" thickBot="1" x14ac:dyDescent="0.25">
      <c r="A5" s="3" t="s">
        <v>112</v>
      </c>
      <c r="B5" s="4" t="s">
        <v>113</v>
      </c>
      <c r="C5" s="5">
        <v>59921</v>
      </c>
      <c r="D5" s="4" t="s">
        <v>114</v>
      </c>
      <c r="E5" s="5">
        <v>29346</v>
      </c>
      <c r="F5" s="4" t="s">
        <v>115</v>
      </c>
      <c r="G5" s="5">
        <v>31175</v>
      </c>
    </row>
    <row r="6" spans="1:16" ht="16" thickBot="1" x14ac:dyDescent="0.25">
      <c r="A6" s="3" t="s">
        <v>116</v>
      </c>
      <c r="B6" s="4" t="s">
        <v>117</v>
      </c>
      <c r="C6" s="5">
        <v>60309</v>
      </c>
      <c r="D6" s="4" t="s">
        <v>118</v>
      </c>
      <c r="E6" s="5">
        <v>32025</v>
      </c>
      <c r="F6" s="4" t="s">
        <v>119</v>
      </c>
      <c r="G6" s="5">
        <v>36679</v>
      </c>
    </row>
    <row r="7" spans="1:16" ht="16" thickBot="1" x14ac:dyDescent="0.25">
      <c r="A7" s="6" t="s">
        <v>120</v>
      </c>
      <c r="B7" s="7"/>
      <c r="C7" s="7"/>
      <c r="D7" s="7"/>
      <c r="E7" s="7"/>
      <c r="F7" s="7"/>
      <c r="G7" s="8"/>
      <c r="K7" t="s">
        <v>189</v>
      </c>
      <c r="L7">
        <v>0</v>
      </c>
      <c r="M7">
        <v>1</v>
      </c>
      <c r="N7" t="s">
        <v>95</v>
      </c>
    </row>
    <row r="8" spans="1:16" ht="16" thickBot="1" x14ac:dyDescent="0.25">
      <c r="A8" s="3" t="s">
        <v>121</v>
      </c>
      <c r="B8" s="4" t="s">
        <v>122</v>
      </c>
      <c r="C8" s="5">
        <v>68839</v>
      </c>
      <c r="D8" s="4" t="s">
        <v>123</v>
      </c>
      <c r="E8" s="5">
        <v>40248</v>
      </c>
      <c r="F8" s="4" t="s">
        <v>124</v>
      </c>
      <c r="G8" s="5">
        <v>48202</v>
      </c>
      <c r="K8" t="s">
        <v>192</v>
      </c>
      <c r="L8">
        <v>72.599999999999994</v>
      </c>
      <c r="M8">
        <v>20.7</v>
      </c>
      <c r="N8">
        <v>6.7</v>
      </c>
      <c r="P8" s="13"/>
    </row>
    <row r="9" spans="1:16" ht="16" thickBot="1" x14ac:dyDescent="0.25">
      <c r="A9" s="3" t="s">
        <v>125</v>
      </c>
      <c r="B9" s="4" t="s">
        <v>126</v>
      </c>
      <c r="C9" s="5">
        <v>13845</v>
      </c>
      <c r="D9" s="4" t="s">
        <v>127</v>
      </c>
      <c r="E9" s="5">
        <v>7390</v>
      </c>
      <c r="F9" s="4" t="s">
        <v>128</v>
      </c>
      <c r="G9" s="5">
        <v>7855</v>
      </c>
      <c r="K9" t="s">
        <v>193</v>
      </c>
      <c r="L9">
        <v>36.6</v>
      </c>
      <c r="M9">
        <v>30.4</v>
      </c>
      <c r="N9">
        <v>33</v>
      </c>
      <c r="P9" s="13"/>
    </row>
    <row r="10" spans="1:16" ht="16" thickBot="1" x14ac:dyDescent="0.25">
      <c r="A10" s="3" t="s">
        <v>129</v>
      </c>
      <c r="B10" s="4" t="s">
        <v>130</v>
      </c>
      <c r="C10" s="5">
        <v>9400</v>
      </c>
      <c r="D10" s="4" t="s">
        <v>131</v>
      </c>
      <c r="E10" s="5">
        <v>3280</v>
      </c>
      <c r="F10" s="4" t="s">
        <v>132</v>
      </c>
      <c r="G10" s="5">
        <v>2486</v>
      </c>
      <c r="K10" t="s">
        <v>96</v>
      </c>
      <c r="L10">
        <v>12.4</v>
      </c>
      <c r="M10">
        <v>23.9</v>
      </c>
      <c r="N10">
        <v>63.7</v>
      </c>
      <c r="P10" s="13"/>
    </row>
    <row r="11" spans="1:16" ht="16" thickBot="1" x14ac:dyDescent="0.25">
      <c r="A11" s="3" t="s">
        <v>133</v>
      </c>
      <c r="B11" s="4" t="s">
        <v>134</v>
      </c>
      <c r="C11" s="5">
        <v>25042</v>
      </c>
      <c r="D11" s="4" t="s">
        <v>135</v>
      </c>
      <c r="E11" s="5">
        <v>8478</v>
      </c>
      <c r="F11" s="4" t="s">
        <v>136</v>
      </c>
      <c r="G11" s="5">
        <v>7230</v>
      </c>
    </row>
    <row r="12" spans="1:16" ht="16" thickBot="1" x14ac:dyDescent="0.25">
      <c r="A12" s="6" t="s">
        <v>137</v>
      </c>
      <c r="B12" s="7"/>
      <c r="C12" s="7"/>
      <c r="D12" s="7"/>
      <c r="E12" s="7"/>
      <c r="F12" s="7"/>
      <c r="G12" s="8"/>
    </row>
    <row r="13" spans="1:16" ht="16" thickBot="1" x14ac:dyDescent="0.25">
      <c r="A13" s="3" t="s">
        <v>138</v>
      </c>
      <c r="B13" s="4" t="s">
        <v>139</v>
      </c>
      <c r="C13" s="5">
        <v>83444</v>
      </c>
      <c r="D13" s="4" t="s">
        <v>140</v>
      </c>
      <c r="E13" s="5">
        <v>23841</v>
      </c>
      <c r="F13" s="4" t="s">
        <v>141</v>
      </c>
      <c r="G13" s="5">
        <v>7723</v>
      </c>
      <c r="K13" t="s">
        <v>194</v>
      </c>
    </row>
    <row r="14" spans="1:16" ht="16" thickBot="1" x14ac:dyDescent="0.25">
      <c r="A14" s="3" t="s">
        <v>142</v>
      </c>
      <c r="B14" s="4" t="s">
        <v>143</v>
      </c>
      <c r="C14" s="5">
        <v>30404</v>
      </c>
      <c r="D14" s="4" t="s">
        <v>144</v>
      </c>
      <c r="E14" s="5">
        <v>25250</v>
      </c>
      <c r="F14" s="4" t="s">
        <v>145</v>
      </c>
      <c r="G14" s="5">
        <v>27383</v>
      </c>
      <c r="K14" t="s">
        <v>189</v>
      </c>
      <c r="L14">
        <v>0</v>
      </c>
      <c r="M14">
        <v>1</v>
      </c>
      <c r="N14">
        <v>2</v>
      </c>
      <c r="O14">
        <v>3</v>
      </c>
      <c r="P14" t="s">
        <v>247</v>
      </c>
    </row>
    <row r="15" spans="1:16" ht="16" thickBot="1" x14ac:dyDescent="0.25">
      <c r="A15" s="3" t="s">
        <v>146</v>
      </c>
      <c r="B15" s="4" t="s">
        <v>147</v>
      </c>
      <c r="C15" s="5">
        <v>6382</v>
      </c>
      <c r="D15" s="4" t="s">
        <v>148</v>
      </c>
      <c r="E15" s="5">
        <v>12280</v>
      </c>
      <c r="F15" s="4" t="s">
        <v>149</v>
      </c>
      <c r="G15" s="5">
        <v>32748</v>
      </c>
      <c r="K15" t="s">
        <v>190</v>
      </c>
      <c r="L15" s="14">
        <f>L8/100</f>
        <v>0.72599999999999998</v>
      </c>
      <c r="M15" s="14">
        <f>M8/100</f>
        <v>0.20699999999999999</v>
      </c>
      <c r="N15" s="14">
        <f>N8/100</f>
        <v>6.7000000000000004E-2</v>
      </c>
      <c r="O15" s="14">
        <v>0</v>
      </c>
      <c r="P15" s="14">
        <f>SUM(L15:O15)</f>
        <v>1</v>
      </c>
    </row>
    <row r="16" spans="1:16" ht="16" thickBot="1" x14ac:dyDescent="0.25">
      <c r="A16" s="6" t="s">
        <v>150</v>
      </c>
      <c r="B16" s="7"/>
      <c r="C16" s="7"/>
      <c r="D16" s="7"/>
      <c r="E16" s="7"/>
      <c r="F16" s="7"/>
      <c r="G16" s="8"/>
      <c r="K16" t="s">
        <v>191</v>
      </c>
      <c r="L16" s="14">
        <f t="shared" ref="L16:M16" si="0">L9/100</f>
        <v>0.36599999999999999</v>
      </c>
      <c r="M16" s="14">
        <f t="shared" si="0"/>
        <v>0.30399999999999999</v>
      </c>
      <c r="N16" s="14">
        <f>N9/100*2/3</f>
        <v>0.22</v>
      </c>
      <c r="O16" s="14">
        <f>N16/2</f>
        <v>0.11</v>
      </c>
      <c r="P16" s="14">
        <f t="shared" ref="P16:P17" si="1">SUM(L16:O16)</f>
        <v>0.99999999999999989</v>
      </c>
    </row>
    <row r="17" spans="1:16" ht="16" thickBot="1" x14ac:dyDescent="0.25">
      <c r="A17" s="6" t="s">
        <v>151</v>
      </c>
      <c r="B17" s="7"/>
      <c r="C17" s="7"/>
      <c r="D17" s="7"/>
      <c r="E17" s="7"/>
      <c r="F17" s="7"/>
      <c r="G17" s="8"/>
      <c r="K17" t="s">
        <v>96</v>
      </c>
      <c r="L17" s="14">
        <f t="shared" ref="L17:M17" si="2">L10/100</f>
        <v>0.124</v>
      </c>
      <c r="M17" s="14">
        <f t="shared" si="2"/>
        <v>0.23899999999999999</v>
      </c>
      <c r="N17" s="14">
        <f t="shared" ref="N17" si="3">N10/200</f>
        <v>0.31850000000000001</v>
      </c>
      <c r="O17" s="14">
        <f t="shared" ref="O17" si="4">N17</f>
        <v>0.31850000000000001</v>
      </c>
      <c r="P17" s="14">
        <f t="shared" si="1"/>
        <v>1</v>
      </c>
    </row>
    <row r="18" spans="1:16" ht="16" thickBot="1" x14ac:dyDescent="0.25">
      <c r="A18" s="3" t="s">
        <v>152</v>
      </c>
      <c r="B18" s="4" t="s">
        <v>153</v>
      </c>
      <c r="C18" s="5">
        <v>80085</v>
      </c>
      <c r="D18" s="4" t="s">
        <v>154</v>
      </c>
      <c r="E18" s="5">
        <v>35065</v>
      </c>
      <c r="F18" s="4" t="s">
        <v>155</v>
      </c>
      <c r="G18" s="5">
        <v>21418</v>
      </c>
    </row>
    <row r="19" spans="1:16" ht="16" thickBot="1" x14ac:dyDescent="0.25">
      <c r="A19" s="3" t="s">
        <v>156</v>
      </c>
      <c r="B19" s="4" t="s">
        <v>157</v>
      </c>
      <c r="C19" s="5">
        <v>12192</v>
      </c>
      <c r="D19" s="4" t="s">
        <v>158</v>
      </c>
      <c r="E19" s="5">
        <v>5830</v>
      </c>
      <c r="F19" s="4" t="s">
        <v>159</v>
      </c>
      <c r="G19" s="5">
        <v>6886</v>
      </c>
    </row>
    <row r="20" spans="1:16" ht="16" thickBot="1" x14ac:dyDescent="0.25">
      <c r="A20" s="3" t="s">
        <v>160</v>
      </c>
      <c r="B20" s="4" t="s">
        <v>161</v>
      </c>
      <c r="C20" s="5">
        <v>17059</v>
      </c>
      <c r="D20" s="4" t="s">
        <v>162</v>
      </c>
      <c r="E20" s="5">
        <v>5511</v>
      </c>
      <c r="F20" s="4" t="s">
        <v>163</v>
      </c>
      <c r="G20" s="5">
        <v>2995</v>
      </c>
    </row>
    <row r="21" spans="1:16" ht="16" thickBot="1" x14ac:dyDescent="0.25">
      <c r="A21" s="6" t="s">
        <v>164</v>
      </c>
      <c r="B21" s="7"/>
      <c r="C21" s="7"/>
      <c r="D21" s="7"/>
      <c r="E21" s="7"/>
      <c r="F21" s="7"/>
      <c r="G21" s="8"/>
    </row>
    <row r="22" spans="1:16" ht="16" thickBot="1" x14ac:dyDescent="0.25">
      <c r="A22" s="3" t="s">
        <v>152</v>
      </c>
      <c r="B22" s="4" t="s">
        <v>165</v>
      </c>
      <c r="C22" s="5">
        <v>2633</v>
      </c>
      <c r="D22" s="4" t="s">
        <v>166</v>
      </c>
      <c r="E22" s="5">
        <v>5190</v>
      </c>
      <c r="F22" s="4" t="s">
        <v>167</v>
      </c>
      <c r="G22" s="5">
        <v>13451</v>
      </c>
    </row>
    <row r="23" spans="1:16" ht="16" thickBot="1" x14ac:dyDescent="0.25">
      <c r="A23" s="3" t="s">
        <v>168</v>
      </c>
      <c r="B23" s="4" t="s">
        <v>169</v>
      </c>
      <c r="C23" s="4">
        <v>239</v>
      </c>
      <c r="D23" s="4" t="s">
        <v>170</v>
      </c>
      <c r="E23" s="4">
        <v>577</v>
      </c>
      <c r="F23" s="4" t="s">
        <v>171</v>
      </c>
      <c r="G23" s="5">
        <v>2713</v>
      </c>
      <c r="K23" s="1"/>
    </row>
    <row r="24" spans="1:16" ht="16" thickBot="1" x14ac:dyDescent="0.25">
      <c r="A24" s="3" t="s">
        <v>172</v>
      </c>
      <c r="B24" s="4" t="s">
        <v>173</v>
      </c>
      <c r="C24" s="5">
        <v>1556</v>
      </c>
      <c r="D24" s="4" t="s">
        <v>174</v>
      </c>
      <c r="E24" s="5">
        <v>3300</v>
      </c>
      <c r="F24" s="4" t="s">
        <v>175</v>
      </c>
      <c r="G24" s="5">
        <v>8257</v>
      </c>
      <c r="K24" s="1"/>
    </row>
    <row r="25" spans="1:16" ht="16" thickBot="1" x14ac:dyDescent="0.25">
      <c r="A25" s="3" t="s">
        <v>176</v>
      </c>
      <c r="B25" s="4" t="s">
        <v>177</v>
      </c>
      <c r="C25" s="5">
        <v>1280</v>
      </c>
      <c r="D25" s="4" t="s">
        <v>178</v>
      </c>
      <c r="E25" s="5">
        <v>2020</v>
      </c>
      <c r="F25" s="4" t="s">
        <v>179</v>
      </c>
      <c r="G25" s="5">
        <v>4645</v>
      </c>
    </row>
    <row r="26" spans="1:16" ht="16" thickBot="1" x14ac:dyDescent="0.25">
      <c r="A26" s="6" t="s">
        <v>180</v>
      </c>
      <c r="B26" s="7"/>
      <c r="C26" s="7"/>
      <c r="D26" s="7"/>
      <c r="E26" s="7"/>
      <c r="F26" s="7"/>
      <c r="G26" s="8"/>
    </row>
    <row r="27" spans="1:16" ht="16" thickBot="1" x14ac:dyDescent="0.25">
      <c r="A27" s="3" t="s">
        <v>181</v>
      </c>
      <c r="B27" s="4" t="s">
        <v>182</v>
      </c>
      <c r="C27" s="5">
        <v>107383</v>
      </c>
      <c r="D27" s="4" t="s">
        <v>183</v>
      </c>
      <c r="E27" s="5">
        <v>53125</v>
      </c>
      <c r="F27" s="4" t="s">
        <v>184</v>
      </c>
      <c r="G27" s="5">
        <v>56577</v>
      </c>
    </row>
    <row r="28" spans="1:16" ht="16" thickBot="1" x14ac:dyDescent="0.25">
      <c r="A28" s="3" t="s">
        <v>185</v>
      </c>
      <c r="B28" s="4" t="s">
        <v>186</v>
      </c>
      <c r="C28" s="5">
        <v>12847</v>
      </c>
      <c r="D28" s="4" t="s">
        <v>187</v>
      </c>
      <c r="E28" s="5">
        <v>8246</v>
      </c>
      <c r="F28" s="4" t="s">
        <v>188</v>
      </c>
      <c r="G28" s="5">
        <v>11277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04DA-01B0-434C-BFBC-0C9549A128F3}">
  <dimension ref="B1:K29"/>
  <sheetViews>
    <sheetView workbookViewId="0"/>
  </sheetViews>
  <sheetFormatPr baseColWidth="10" defaultColWidth="8.83203125" defaultRowHeight="15" x14ac:dyDescent="0.2"/>
  <sheetData>
    <row r="1" spans="2:11" x14ac:dyDescent="0.2">
      <c r="I1">
        <v>1</v>
      </c>
      <c r="J1">
        <v>2</v>
      </c>
      <c r="K1">
        <v>3</v>
      </c>
    </row>
    <row r="2" spans="2:11" x14ac:dyDescent="0.2">
      <c r="C2" t="s">
        <v>230</v>
      </c>
      <c r="D2" t="s">
        <v>231</v>
      </c>
      <c r="G2" t="s">
        <v>224</v>
      </c>
      <c r="H2">
        <v>0</v>
      </c>
      <c r="I2">
        <v>1</v>
      </c>
      <c r="J2">
        <v>2</v>
      </c>
      <c r="K2">
        <v>3</v>
      </c>
    </row>
    <row r="3" spans="2:11" x14ac:dyDescent="0.2">
      <c r="B3" t="s">
        <v>232</v>
      </c>
      <c r="C3">
        <v>80</v>
      </c>
      <c r="D3">
        <v>120</v>
      </c>
      <c r="G3" t="s">
        <v>190</v>
      </c>
      <c r="H3">
        <v>0.72599999999999998</v>
      </c>
      <c r="I3">
        <v>0.20699999999999999</v>
      </c>
      <c r="J3">
        <v>3.3500000000000002E-2</v>
      </c>
      <c r="K3">
        <v>3.3500000000000002E-2</v>
      </c>
    </row>
    <row r="4" spans="2:11" x14ac:dyDescent="0.2">
      <c r="B4" t="s">
        <v>233</v>
      </c>
      <c r="C4">
        <f>AVERAGE(C3:D3)</f>
        <v>100</v>
      </c>
      <c r="G4" t="s">
        <v>191</v>
      </c>
      <c r="H4">
        <v>0.36599999999999999</v>
      </c>
      <c r="I4">
        <v>0.30399999999999999</v>
      </c>
      <c r="J4">
        <v>0.16500000000000001</v>
      </c>
      <c r="K4">
        <v>0.16500000000000001</v>
      </c>
    </row>
    <row r="5" spans="2:11" x14ac:dyDescent="0.2">
      <c r="B5" t="s">
        <v>234</v>
      </c>
      <c r="C5">
        <f>C3/C4</f>
        <v>0.8</v>
      </c>
      <c r="D5">
        <f>D3/C4</f>
        <v>1.2</v>
      </c>
      <c r="G5" t="s">
        <v>96</v>
      </c>
      <c r="H5">
        <v>0.124</v>
      </c>
      <c r="I5">
        <v>0.23899999999999999</v>
      </c>
      <c r="J5">
        <v>0.31850000000000001</v>
      </c>
      <c r="K5">
        <v>0.31850000000000001</v>
      </c>
    </row>
    <row r="6" spans="2:11" x14ac:dyDescent="0.2">
      <c r="B6" t="s">
        <v>237</v>
      </c>
      <c r="C6">
        <f>C5</f>
        <v>0.8</v>
      </c>
      <c r="D6">
        <f>D5</f>
        <v>1.2</v>
      </c>
    </row>
    <row r="8" spans="2:11" x14ac:dyDescent="0.2">
      <c r="F8" t="s">
        <v>230</v>
      </c>
      <c r="G8" t="s">
        <v>224</v>
      </c>
      <c r="H8">
        <v>0</v>
      </c>
      <c r="I8">
        <v>1</v>
      </c>
      <c r="J8">
        <v>2</v>
      </c>
      <c r="K8">
        <v>3</v>
      </c>
    </row>
    <row r="9" spans="2:11" x14ac:dyDescent="0.2">
      <c r="G9" t="s">
        <v>190</v>
      </c>
      <c r="H9">
        <f>1-I9-J9-K9</f>
        <v>0.77298333333333336</v>
      </c>
      <c r="I9">
        <f>I3*(1+($C$6-1)/I$1)</f>
        <v>0.1656</v>
      </c>
      <c r="J9">
        <f t="shared" ref="J9:K9" si="0">J3*(1+($C$6-1)/J$1)</f>
        <v>3.0150000000000003E-2</v>
      </c>
      <c r="K9">
        <f t="shared" si="0"/>
        <v>3.1266666666666672E-2</v>
      </c>
    </row>
    <row r="10" spans="2:11" x14ac:dyDescent="0.2">
      <c r="G10" t="s">
        <v>191</v>
      </c>
      <c r="H10">
        <f t="shared" ref="H10:H11" si="1">1-I10-J10-K10</f>
        <v>0.45430000000000004</v>
      </c>
      <c r="I10">
        <f t="shared" ref="I10:K11" si="2">I4*(1+($C$6-1)/I$1)</f>
        <v>0.2432</v>
      </c>
      <c r="J10">
        <f t="shared" si="2"/>
        <v>0.14850000000000002</v>
      </c>
      <c r="K10">
        <f t="shared" si="2"/>
        <v>0.154</v>
      </c>
    </row>
    <row r="11" spans="2:11" x14ac:dyDescent="0.2">
      <c r="G11" t="s">
        <v>96</v>
      </c>
      <c r="H11">
        <f t="shared" si="1"/>
        <v>0.22488333333333321</v>
      </c>
      <c r="I11">
        <f t="shared" si="2"/>
        <v>0.19120000000000001</v>
      </c>
      <c r="J11">
        <f t="shared" si="2"/>
        <v>0.28665000000000002</v>
      </c>
      <c r="K11">
        <f t="shared" si="2"/>
        <v>0.29726666666666668</v>
      </c>
    </row>
    <row r="14" spans="2:11" x14ac:dyDescent="0.2">
      <c r="F14" t="s">
        <v>231</v>
      </c>
      <c r="G14" t="s">
        <v>224</v>
      </c>
      <c r="H14">
        <v>0</v>
      </c>
      <c r="I14">
        <v>1</v>
      </c>
      <c r="J14">
        <v>2</v>
      </c>
      <c r="K14">
        <v>3</v>
      </c>
    </row>
    <row r="15" spans="2:11" x14ac:dyDescent="0.2">
      <c r="G15" t="s">
        <v>190</v>
      </c>
      <c r="H15">
        <f>1-I15-J15-K15</f>
        <v>0.67901666666666671</v>
      </c>
      <c r="I15">
        <f>I3*(1+($D$6-1)/I$1)</f>
        <v>0.24839999999999998</v>
      </c>
      <c r="J15">
        <f t="shared" ref="J15:K15" si="3">J3*(1+($D$6-1)/J$1)</f>
        <v>3.6850000000000008E-2</v>
      </c>
      <c r="K15">
        <f t="shared" si="3"/>
        <v>3.5733333333333332E-2</v>
      </c>
    </row>
    <row r="16" spans="2:11" x14ac:dyDescent="0.2">
      <c r="G16" t="s">
        <v>191</v>
      </c>
      <c r="H16">
        <f t="shared" ref="H16:H17" si="4">1-I16-J16-K16</f>
        <v>0.27769999999999995</v>
      </c>
      <c r="I16">
        <f t="shared" ref="I16:K16" si="5">I4*(1+($D$6-1)/I$1)</f>
        <v>0.36479999999999996</v>
      </c>
      <c r="J16">
        <f t="shared" si="5"/>
        <v>0.18150000000000002</v>
      </c>
      <c r="K16">
        <f t="shared" si="5"/>
        <v>0.17600000000000002</v>
      </c>
    </row>
    <row r="17" spans="6:11" x14ac:dyDescent="0.2">
      <c r="G17" t="s">
        <v>96</v>
      </c>
      <c r="H17">
        <f t="shared" si="4"/>
        <v>2.3116666666666674E-2</v>
      </c>
      <c r="I17">
        <f t="shared" ref="I17:K17" si="6">I5*(1+($D$6-1)/I$1)</f>
        <v>0.2868</v>
      </c>
      <c r="J17">
        <f t="shared" si="6"/>
        <v>0.35035000000000005</v>
      </c>
      <c r="K17">
        <f t="shared" si="6"/>
        <v>0.33973333333333333</v>
      </c>
    </row>
    <row r="20" spans="6:11" x14ac:dyDescent="0.2">
      <c r="F20" t="s">
        <v>235</v>
      </c>
      <c r="G20" t="s">
        <v>224</v>
      </c>
      <c r="H20">
        <v>0</v>
      </c>
      <c r="I20">
        <v>1</v>
      </c>
      <c r="J20">
        <v>2</v>
      </c>
      <c r="K20">
        <v>3</v>
      </c>
    </row>
    <row r="21" spans="6:11" x14ac:dyDescent="0.2">
      <c r="G21" t="s">
        <v>190</v>
      </c>
      <c r="H21">
        <f>AVERAGE(H9,H15)</f>
        <v>0.72599999999999998</v>
      </c>
      <c r="I21">
        <f t="shared" ref="I21:K21" si="7">AVERAGE(I9,I15)</f>
        <v>0.20699999999999999</v>
      </c>
      <c r="J21">
        <f t="shared" si="7"/>
        <v>3.3500000000000002E-2</v>
      </c>
      <c r="K21">
        <f t="shared" si="7"/>
        <v>3.3500000000000002E-2</v>
      </c>
    </row>
    <row r="22" spans="6:11" x14ac:dyDescent="0.2">
      <c r="G22" t="s">
        <v>191</v>
      </c>
      <c r="H22">
        <f t="shared" ref="H22:K22" si="8">AVERAGE(H10,H16)</f>
        <v>0.36599999999999999</v>
      </c>
      <c r="I22">
        <f t="shared" si="8"/>
        <v>0.30399999999999999</v>
      </c>
      <c r="J22">
        <f t="shared" si="8"/>
        <v>0.16500000000000004</v>
      </c>
      <c r="K22">
        <f t="shared" si="8"/>
        <v>0.16500000000000001</v>
      </c>
    </row>
    <row r="23" spans="6:11" x14ac:dyDescent="0.2">
      <c r="G23" t="s">
        <v>96</v>
      </c>
      <c r="H23">
        <f t="shared" ref="H23:K23" si="9">AVERAGE(H11,H17)</f>
        <v>0.12399999999999994</v>
      </c>
      <c r="I23">
        <f t="shared" si="9"/>
        <v>0.23899999999999999</v>
      </c>
      <c r="J23">
        <f t="shared" si="9"/>
        <v>0.31850000000000001</v>
      </c>
      <c r="K23">
        <f t="shared" si="9"/>
        <v>0.31850000000000001</v>
      </c>
    </row>
    <row r="26" spans="6:11" x14ac:dyDescent="0.2">
      <c r="F26" t="s">
        <v>236</v>
      </c>
      <c r="G26" t="s">
        <v>224</v>
      </c>
      <c r="H26">
        <v>0</v>
      </c>
      <c r="I26">
        <v>1</v>
      </c>
      <c r="J26">
        <v>2</v>
      </c>
      <c r="K26">
        <v>3</v>
      </c>
    </row>
    <row r="27" spans="6:11" x14ac:dyDescent="0.2">
      <c r="G27" t="s">
        <v>190</v>
      </c>
      <c r="H27">
        <f>H21-H3</f>
        <v>0</v>
      </c>
      <c r="I27">
        <f t="shared" ref="I27:K27" si="10">I21-I3</f>
        <v>0</v>
      </c>
      <c r="J27">
        <f t="shared" si="10"/>
        <v>0</v>
      </c>
      <c r="K27">
        <f t="shared" si="10"/>
        <v>0</v>
      </c>
    </row>
    <row r="28" spans="6:11" x14ac:dyDescent="0.2">
      <c r="G28" t="s">
        <v>191</v>
      </c>
      <c r="H28">
        <f t="shared" ref="H28:K28" si="11">H22-H4</f>
        <v>0</v>
      </c>
      <c r="I28">
        <f t="shared" si="11"/>
        <v>0</v>
      </c>
      <c r="J28">
        <f t="shared" si="11"/>
        <v>0</v>
      </c>
      <c r="K28">
        <f t="shared" si="11"/>
        <v>0</v>
      </c>
    </row>
    <row r="29" spans="6:11" x14ac:dyDescent="0.2">
      <c r="G29" t="s">
        <v>96</v>
      </c>
      <c r="H29">
        <f t="shared" ref="H29:K29" si="12">H23-H5</f>
        <v>0</v>
      </c>
      <c r="I29">
        <f t="shared" si="12"/>
        <v>0</v>
      </c>
      <c r="J29">
        <f t="shared" si="12"/>
        <v>0</v>
      </c>
      <c r="K29">
        <f t="shared" si="12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492B-F34E-49FE-A9CE-A72EE6962D79}">
  <dimension ref="A1:E21"/>
  <sheetViews>
    <sheetView workbookViewId="0">
      <selection activeCell="F8" sqref="F8"/>
    </sheetView>
  </sheetViews>
  <sheetFormatPr baseColWidth="10" defaultColWidth="8.83203125" defaultRowHeight="15" x14ac:dyDescent="0.2"/>
  <cols>
    <col min="1" max="1" width="15.33203125" bestFit="1" customWidth="1"/>
    <col min="2" max="2" width="10.6640625" bestFit="1" customWidth="1"/>
  </cols>
  <sheetData>
    <row r="1" spans="1:5" x14ac:dyDescent="0.2">
      <c r="B1" t="s">
        <v>204</v>
      </c>
      <c r="C1" t="s">
        <v>205</v>
      </c>
      <c r="E1" t="s">
        <v>99</v>
      </c>
    </row>
    <row r="2" spans="1:5" x14ac:dyDescent="0.2">
      <c r="A2" t="s">
        <v>197</v>
      </c>
      <c r="E2" s="16" t="s">
        <v>195</v>
      </c>
    </row>
    <row r="3" spans="1:5" x14ac:dyDescent="0.2">
      <c r="A3" t="s">
        <v>198</v>
      </c>
      <c r="B3">
        <v>3501</v>
      </c>
      <c r="C3">
        <v>1248</v>
      </c>
      <c r="E3" t="s">
        <v>207</v>
      </c>
    </row>
    <row r="4" spans="1:5" x14ac:dyDescent="0.2">
      <c r="A4" t="s">
        <v>199</v>
      </c>
      <c r="B4">
        <v>61798</v>
      </c>
      <c r="C4">
        <v>18318</v>
      </c>
      <c r="E4" t="s">
        <v>196</v>
      </c>
    </row>
    <row r="5" spans="1:5" x14ac:dyDescent="0.2">
      <c r="A5" t="s">
        <v>200</v>
      </c>
      <c r="B5">
        <v>65728</v>
      </c>
      <c r="C5">
        <v>21316</v>
      </c>
    </row>
    <row r="6" spans="1:5" x14ac:dyDescent="0.2">
      <c r="A6" t="s">
        <v>201</v>
      </c>
      <c r="B6">
        <v>55022</v>
      </c>
      <c r="C6">
        <v>22527</v>
      </c>
    </row>
    <row r="7" spans="1:5" x14ac:dyDescent="0.2">
      <c r="A7" t="s">
        <v>202</v>
      </c>
      <c r="B7">
        <v>10635</v>
      </c>
      <c r="C7">
        <v>5450</v>
      </c>
    </row>
    <row r="8" spans="1:5" x14ac:dyDescent="0.2">
      <c r="A8" t="s">
        <v>203</v>
      </c>
      <c r="B8">
        <f>SUM(B3:B7)</f>
        <v>196684</v>
      </c>
      <c r="C8">
        <f>SUM(C3:C7)</f>
        <v>68859</v>
      </c>
    </row>
    <row r="11" spans="1:5" x14ac:dyDescent="0.2">
      <c r="A11" t="s">
        <v>206</v>
      </c>
      <c r="D11" t="s">
        <v>260</v>
      </c>
    </row>
    <row r="12" spans="1:5" x14ac:dyDescent="0.2">
      <c r="A12">
        <f>(C6+C7)/(B6+B7)</f>
        <v>0.4261084118981982</v>
      </c>
      <c r="D12">
        <f>C7/B7</f>
        <v>0.51245886224729664</v>
      </c>
    </row>
    <row r="15" spans="1:5" x14ac:dyDescent="0.2">
      <c r="A15" t="s">
        <v>226</v>
      </c>
    </row>
    <row r="16" spans="1:5" x14ac:dyDescent="0.2">
      <c r="A16" s="16" t="s">
        <v>248</v>
      </c>
    </row>
    <row r="17" spans="1:2" x14ac:dyDescent="0.2">
      <c r="A17" t="s">
        <v>246</v>
      </c>
      <c r="B17" t="s">
        <v>63</v>
      </c>
    </row>
    <row r="18" spans="1:2" x14ac:dyDescent="0.2">
      <c r="A18" t="s">
        <v>245</v>
      </c>
      <c r="B18">
        <v>0</v>
      </c>
    </row>
    <row r="19" spans="1:2" x14ac:dyDescent="0.2">
      <c r="A19" t="s">
        <v>242</v>
      </c>
      <c r="B19">
        <v>0.13900000000000001</v>
      </c>
    </row>
    <row r="20" spans="1:2" x14ac:dyDescent="0.2">
      <c r="A20" t="s">
        <v>243</v>
      </c>
      <c r="B20">
        <v>0.184</v>
      </c>
    </row>
    <row r="21" spans="1:2" x14ac:dyDescent="0.2">
      <c r="A21" s="15" t="s">
        <v>244</v>
      </c>
      <c r="B21">
        <v>0.20599999999999999</v>
      </c>
    </row>
  </sheetData>
  <hyperlinks>
    <hyperlink ref="E2" r:id="rId1" xr:uid="{D6EEB15D-9672-47F5-82C1-6C83FFE56316}"/>
    <hyperlink ref="A16" r:id="rId2" xr:uid="{F0F3E68E-AF60-4DF0-B44A-E30119E047E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A6C2-A4E4-7D44-B9DF-D96D0F26B020}">
  <dimension ref="A1:D10"/>
  <sheetViews>
    <sheetView workbookViewId="0">
      <selection activeCell="B4" sqref="B4"/>
    </sheetView>
  </sheetViews>
  <sheetFormatPr baseColWidth="10" defaultRowHeight="15" x14ac:dyDescent="0.2"/>
  <cols>
    <col min="1" max="1" width="26.33203125" customWidth="1"/>
    <col min="2" max="2" width="20.1640625" bestFit="1" customWidth="1"/>
  </cols>
  <sheetData>
    <row r="1" spans="1:4" x14ac:dyDescent="0.2">
      <c r="B1" t="s">
        <v>253</v>
      </c>
      <c r="D1" t="s">
        <v>99</v>
      </c>
    </row>
    <row r="2" spans="1:4" x14ac:dyDescent="0.2">
      <c r="A2" t="s">
        <v>261</v>
      </c>
      <c r="B2" s="17">
        <v>0.40300000000000002</v>
      </c>
      <c r="D2" t="s">
        <v>252</v>
      </c>
    </row>
    <row r="3" spans="1:4" x14ac:dyDescent="0.2">
      <c r="A3" t="s">
        <v>262</v>
      </c>
      <c r="B3" s="17">
        <v>9.4E-2</v>
      </c>
    </row>
    <row r="4" spans="1:4" x14ac:dyDescent="0.2">
      <c r="A4" t="s">
        <v>258</v>
      </c>
      <c r="B4" s="17">
        <f>B3/B2</f>
        <v>0.23325062034739452</v>
      </c>
    </row>
    <row r="9" spans="1:4" x14ac:dyDescent="0.2">
      <c r="A9" t="s">
        <v>254</v>
      </c>
      <c r="B9" t="s">
        <v>256</v>
      </c>
    </row>
    <row r="10" spans="1:4" x14ac:dyDescent="0.2">
      <c r="A10" t="s">
        <v>255</v>
      </c>
      <c r="B10" t="s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4B9B-294C-4E9B-9670-BDEBB939213E}">
  <dimension ref="A1:I18"/>
  <sheetViews>
    <sheetView workbookViewId="0"/>
  </sheetViews>
  <sheetFormatPr baseColWidth="10" defaultColWidth="8.83203125" defaultRowHeight="15" x14ac:dyDescent="0.2"/>
  <cols>
    <col min="1" max="1" width="9.83203125" bestFit="1" customWidth="1"/>
    <col min="2" max="2" width="14" bestFit="1" customWidth="1"/>
    <col min="6" max="6" width="11.83203125" bestFit="1" customWidth="1"/>
  </cols>
  <sheetData>
    <row r="1" spans="1:9" x14ac:dyDescent="0.2">
      <c r="A1" t="s">
        <v>94</v>
      </c>
      <c r="B1" t="s">
        <v>224</v>
      </c>
      <c r="C1" t="s">
        <v>225</v>
      </c>
      <c r="D1" t="s">
        <v>226</v>
      </c>
      <c r="E1" t="s">
        <v>227</v>
      </c>
      <c r="F1" t="s">
        <v>238</v>
      </c>
      <c r="G1" t="s">
        <v>239</v>
      </c>
      <c r="H1" t="s">
        <v>240</v>
      </c>
      <c r="I1" t="s">
        <v>241</v>
      </c>
    </row>
    <row r="2" spans="1:9" x14ac:dyDescent="0.2">
      <c r="A2" t="s">
        <v>211</v>
      </c>
      <c r="C2">
        <v>0</v>
      </c>
      <c r="D2">
        <v>1</v>
      </c>
      <c r="E2">
        <v>0</v>
      </c>
      <c r="F2" t="s">
        <v>245</v>
      </c>
      <c r="H2">
        <v>1</v>
      </c>
      <c r="I2">
        <v>0</v>
      </c>
    </row>
    <row r="3" spans="1:9" x14ac:dyDescent="0.2">
      <c r="A3" t="s">
        <v>212</v>
      </c>
      <c r="C3">
        <v>0</v>
      </c>
      <c r="D3">
        <v>1</v>
      </c>
      <c r="E3">
        <v>0</v>
      </c>
      <c r="F3" t="s">
        <v>242</v>
      </c>
      <c r="G3" t="s">
        <v>245</v>
      </c>
      <c r="H3">
        <f>6/7</f>
        <v>0.8571428571428571</v>
      </c>
      <c r="I3">
        <f>1/7</f>
        <v>0.14285714285714285</v>
      </c>
    </row>
    <row r="4" spans="1:9" x14ac:dyDescent="0.2">
      <c r="A4" s="15" t="s">
        <v>213</v>
      </c>
      <c r="C4">
        <v>0</v>
      </c>
      <c r="D4">
        <v>1</v>
      </c>
      <c r="E4">
        <v>0</v>
      </c>
      <c r="F4" t="s">
        <v>242</v>
      </c>
      <c r="G4" t="s">
        <v>243</v>
      </c>
      <c r="H4">
        <v>0.2</v>
      </c>
      <c r="I4">
        <v>0.8</v>
      </c>
    </row>
    <row r="5" spans="1:9" x14ac:dyDescent="0.2">
      <c r="A5" s="15" t="s">
        <v>214</v>
      </c>
      <c r="C5">
        <v>0</v>
      </c>
      <c r="D5">
        <v>1</v>
      </c>
      <c r="E5">
        <v>1</v>
      </c>
      <c r="F5" t="s">
        <v>243</v>
      </c>
      <c r="G5" t="s">
        <v>244</v>
      </c>
      <c r="H5">
        <v>0.4</v>
      </c>
      <c r="I5">
        <v>0.6</v>
      </c>
    </row>
    <row r="6" spans="1:9" x14ac:dyDescent="0.2">
      <c r="A6" t="s">
        <v>215</v>
      </c>
      <c r="B6" t="s">
        <v>190</v>
      </c>
      <c r="C6">
        <v>1</v>
      </c>
      <c r="D6">
        <v>1</v>
      </c>
      <c r="E6">
        <v>1</v>
      </c>
      <c r="F6" t="s">
        <v>190</v>
      </c>
      <c r="G6" t="s">
        <v>244</v>
      </c>
      <c r="H6">
        <v>0.4</v>
      </c>
      <c r="I6">
        <v>0.6</v>
      </c>
    </row>
    <row r="7" spans="1:9" x14ac:dyDescent="0.2">
      <c r="A7" t="s">
        <v>216</v>
      </c>
      <c r="B7" t="s">
        <v>190</v>
      </c>
      <c r="C7">
        <v>1</v>
      </c>
      <c r="D7">
        <v>0</v>
      </c>
      <c r="E7">
        <v>1</v>
      </c>
      <c r="F7" t="s">
        <v>190</v>
      </c>
      <c r="H7">
        <v>1</v>
      </c>
      <c r="I7">
        <v>0</v>
      </c>
    </row>
    <row r="8" spans="1:9" x14ac:dyDescent="0.2">
      <c r="A8" t="s">
        <v>229</v>
      </c>
      <c r="B8" t="s">
        <v>190</v>
      </c>
      <c r="C8">
        <v>1</v>
      </c>
      <c r="D8">
        <v>0</v>
      </c>
      <c r="E8">
        <v>1</v>
      </c>
      <c r="F8" t="s">
        <v>190</v>
      </c>
      <c r="H8">
        <v>1</v>
      </c>
      <c r="I8">
        <v>0</v>
      </c>
    </row>
    <row r="9" spans="1:9" x14ac:dyDescent="0.2">
      <c r="A9" t="s">
        <v>228</v>
      </c>
      <c r="B9" t="s">
        <v>190</v>
      </c>
      <c r="C9">
        <v>1</v>
      </c>
      <c r="D9">
        <v>0</v>
      </c>
      <c r="E9">
        <v>1</v>
      </c>
      <c r="F9" t="s">
        <v>190</v>
      </c>
      <c r="H9">
        <v>1</v>
      </c>
      <c r="I9">
        <v>0</v>
      </c>
    </row>
    <row r="10" spans="1:9" x14ac:dyDescent="0.2">
      <c r="A10" s="1" t="s">
        <v>217</v>
      </c>
      <c r="B10" t="s">
        <v>190</v>
      </c>
      <c r="C10">
        <v>1</v>
      </c>
      <c r="D10">
        <v>0</v>
      </c>
      <c r="E10">
        <v>1</v>
      </c>
      <c r="F10" t="s">
        <v>190</v>
      </c>
      <c r="H10">
        <v>1</v>
      </c>
      <c r="I10">
        <v>0</v>
      </c>
    </row>
    <row r="11" spans="1:9" x14ac:dyDescent="0.2">
      <c r="A11" s="1" t="s">
        <v>218</v>
      </c>
      <c r="B11" t="s">
        <v>190</v>
      </c>
      <c r="C11">
        <v>1</v>
      </c>
      <c r="D11">
        <v>0</v>
      </c>
      <c r="E11">
        <v>1</v>
      </c>
      <c r="F11" t="s">
        <v>190</v>
      </c>
      <c r="H11">
        <v>1</v>
      </c>
      <c r="I11">
        <v>0</v>
      </c>
    </row>
    <row r="12" spans="1:9" x14ac:dyDescent="0.2">
      <c r="A12" t="s">
        <v>219</v>
      </c>
      <c r="B12" t="s">
        <v>191</v>
      </c>
      <c r="C12">
        <v>1</v>
      </c>
      <c r="D12">
        <v>0</v>
      </c>
      <c r="E12">
        <v>1</v>
      </c>
      <c r="F12" t="s">
        <v>191</v>
      </c>
      <c r="H12">
        <v>1</v>
      </c>
      <c r="I12">
        <v>0</v>
      </c>
    </row>
    <row r="13" spans="1:9" x14ac:dyDescent="0.2">
      <c r="A13" t="s">
        <v>220</v>
      </c>
      <c r="B13" t="s">
        <v>191</v>
      </c>
      <c r="C13">
        <v>1</v>
      </c>
      <c r="D13">
        <v>0</v>
      </c>
      <c r="E13">
        <v>1</v>
      </c>
      <c r="F13" t="s">
        <v>191</v>
      </c>
      <c r="H13">
        <v>1</v>
      </c>
      <c r="I13">
        <v>0</v>
      </c>
    </row>
    <row r="14" spans="1:9" x14ac:dyDescent="0.2">
      <c r="A14" t="s">
        <v>249</v>
      </c>
      <c r="B14" t="s">
        <v>191</v>
      </c>
      <c r="C14">
        <v>1</v>
      </c>
      <c r="D14">
        <v>0</v>
      </c>
      <c r="E14">
        <v>0</v>
      </c>
      <c r="F14" t="s">
        <v>191</v>
      </c>
      <c r="H14">
        <v>1</v>
      </c>
      <c r="I14">
        <v>0</v>
      </c>
    </row>
    <row r="15" spans="1:9" x14ac:dyDescent="0.2">
      <c r="A15" t="s">
        <v>221</v>
      </c>
      <c r="B15" t="s">
        <v>191</v>
      </c>
      <c r="C15">
        <v>1</v>
      </c>
      <c r="D15">
        <v>0</v>
      </c>
      <c r="E15">
        <v>0</v>
      </c>
      <c r="F15" t="s">
        <v>191</v>
      </c>
      <c r="H15">
        <v>1</v>
      </c>
      <c r="I15">
        <v>0</v>
      </c>
    </row>
    <row r="16" spans="1:9" x14ac:dyDescent="0.2">
      <c r="A16" t="s">
        <v>222</v>
      </c>
      <c r="B16" t="s">
        <v>96</v>
      </c>
      <c r="C16">
        <v>1</v>
      </c>
      <c r="D16">
        <v>0</v>
      </c>
      <c r="E16">
        <v>0</v>
      </c>
      <c r="F16" t="s">
        <v>96</v>
      </c>
      <c r="H16">
        <v>1</v>
      </c>
      <c r="I16">
        <v>0</v>
      </c>
    </row>
    <row r="17" spans="1:9" x14ac:dyDescent="0.2">
      <c r="A17" t="s">
        <v>223</v>
      </c>
      <c r="B17" t="s">
        <v>96</v>
      </c>
      <c r="C17">
        <v>1</v>
      </c>
      <c r="D17">
        <v>0</v>
      </c>
      <c r="E17">
        <v>0</v>
      </c>
      <c r="F17" t="s">
        <v>96</v>
      </c>
      <c r="H17">
        <v>1</v>
      </c>
      <c r="I17">
        <v>0</v>
      </c>
    </row>
    <row r="18" spans="1:9" x14ac:dyDescent="0.2">
      <c r="A18" t="s">
        <v>97</v>
      </c>
      <c r="B18" t="s">
        <v>96</v>
      </c>
      <c r="C18">
        <v>1</v>
      </c>
      <c r="D18">
        <v>0</v>
      </c>
      <c r="E18">
        <v>0</v>
      </c>
      <c r="F18" t="s">
        <v>96</v>
      </c>
      <c r="H18">
        <v>1</v>
      </c>
      <c r="I1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014F-2FE6-49D1-8232-644EF7AAF89F}">
  <dimension ref="A1:C7"/>
  <sheetViews>
    <sheetView workbookViewId="0">
      <selection sqref="A1:B6"/>
    </sheetView>
  </sheetViews>
  <sheetFormatPr baseColWidth="10" defaultColWidth="8.83203125" defaultRowHeight="15" x14ac:dyDescent="0.2"/>
  <sheetData>
    <row r="1" spans="1:3" x14ac:dyDescent="0.2">
      <c r="A1" t="s">
        <v>246</v>
      </c>
      <c r="B1" t="s">
        <v>63</v>
      </c>
    </row>
    <row r="2" spans="1:3" x14ac:dyDescent="0.2">
      <c r="A2" t="s">
        <v>245</v>
      </c>
      <c r="B2">
        <v>0</v>
      </c>
    </row>
    <row r="3" spans="1:3" x14ac:dyDescent="0.2">
      <c r="A3" t="s">
        <v>242</v>
      </c>
      <c r="B3">
        <v>0.13900000000000001</v>
      </c>
    </row>
    <row r="4" spans="1:3" x14ac:dyDescent="0.2">
      <c r="A4" t="s">
        <v>243</v>
      </c>
      <c r="B4">
        <v>0.184</v>
      </c>
    </row>
    <row r="5" spans="1:3" x14ac:dyDescent="0.2">
      <c r="A5" s="15" t="s">
        <v>244</v>
      </c>
      <c r="B5">
        <v>0.20599999999999999</v>
      </c>
      <c r="C5" s="15"/>
    </row>
    <row r="6" spans="1:3" x14ac:dyDescent="0.2">
      <c r="C6" s="15"/>
    </row>
    <row r="7" spans="1:3" x14ac:dyDescent="0.2">
      <c r="C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ConditionsList</vt:lpstr>
      <vt:lpstr>MultipleConditionsAdults</vt:lpstr>
      <vt:lpstr>Obesity</vt:lpstr>
      <vt:lpstr>MultipleConditionsSource</vt:lpstr>
      <vt:lpstr>MCC_Adj_Checks</vt:lpstr>
      <vt:lpstr>ObesitySource</vt:lpstr>
      <vt:lpstr>SevereObesitySource</vt:lpstr>
      <vt:lpstr>AgeGroups</vt:lpstr>
      <vt:lpstr>ChildrenObesity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 Pasco</dc:creator>
  <cp:lastModifiedBy>Remy Pasco</cp:lastModifiedBy>
  <dcterms:created xsi:type="dcterms:W3CDTF">2021-02-05T19:38:39Z</dcterms:created>
  <dcterms:modified xsi:type="dcterms:W3CDTF">2026-03-10T17:44:49Z</dcterms:modified>
</cp:coreProperties>
</file>